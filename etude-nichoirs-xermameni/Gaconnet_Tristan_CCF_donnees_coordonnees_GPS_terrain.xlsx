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0" yWindow="1520" windowWidth="14400" windowHeight="7270" tabRatio="500" firstSheet="0" activeTab="0" autoFilterDateGrouping="1"/>
  </bookViews>
  <sheets>
    <sheet name="Nichoirs" sheetId="1" state="visible" r:id="rId1"/>
    <sheet name="Sol_pedologie" sheetId="2" state="visible" r:id="rId2"/>
    <sheet name="Climat" sheetId="3" state="visible" r:id="rId3"/>
    <sheet name="IAE" sheetId="4" state="visible" r:id="rId4"/>
    <sheet name="IPA_mesange" sheetId="5" state="visible" r:id="rId5"/>
    <sheet name="Notes_QGIS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Calibri"/>
      <charset val="1"/>
      <b val="1"/>
      <color rgb="FFFFFFFF"/>
      <sz val="11"/>
    </font>
    <font>
      <name val="Calibri"/>
      <charset val="1"/>
      <sz val="11"/>
    </font>
    <font>
      <name val="Calibri"/>
      <charset val="1"/>
      <b val="1"/>
      <color rgb="FF1F4E79"/>
      <sz val="14"/>
    </font>
    <font>
      <name val="Calibri"/>
      <charset val="1"/>
      <b val="1"/>
      <sz val="11"/>
    </font>
    <font>
      <name val="Calibri"/>
      <charset val="1"/>
      <i val="1"/>
      <color rgb="FF666666"/>
      <sz val="10"/>
    </font>
    <font>
      <name val="Calibri"/>
      <charset val="1"/>
      <b val="1"/>
      <sz val="12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5E8F0"/>
        <bgColor rgb="FFCCFFFF"/>
      </patternFill>
    </fill>
    <fill>
      <patternFill patternType="solid">
        <fgColor rgb="FFFFF2CC"/>
        <bgColor rgb="FFFFFFFF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3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3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6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topLeftCell="G1" zoomScaleNormal="100" workbookViewId="0">
      <pane ySplit="1" topLeftCell="A2" activePane="bottomLeft" state="frozen"/>
      <selection pane="bottomLeft" activeCell="B12" sqref="B12"/>
    </sheetView>
  </sheetViews>
  <sheetFormatPr baseColWidth="10" defaultColWidth="8.7265625" defaultRowHeight="14.5"/>
  <cols>
    <col width="9.90625" customWidth="1" min="1" max="1"/>
    <col width="16" customWidth="1" min="2" max="2"/>
    <col width="7.90625" customWidth="1" min="3" max="3"/>
    <col width="12" customWidth="1" min="4" max="5"/>
    <col width="9.90625" customWidth="1" min="6" max="6"/>
    <col width="22.08984375" customWidth="1" min="7" max="7"/>
    <col width="30" customWidth="1" min="8" max="8"/>
    <col width="28" customWidth="1" min="9" max="9"/>
    <col width="14" customWidth="1" min="10" max="10"/>
    <col width="39.90625" customWidth="1" min="11" max="11"/>
  </cols>
  <sheetData>
    <row r="1" ht="30" customHeight="1">
      <c r="A1" s="2" t="inlineStr">
        <is>
          <t>id</t>
        </is>
      </c>
      <c r="B1" s="2" t="inlineStr">
        <is>
          <t>type</t>
        </is>
      </c>
      <c r="C1" s="2" t="inlineStr">
        <is>
          <t>numero</t>
        </is>
      </c>
      <c r="D1" s="2" t="inlineStr">
        <is>
          <t>latitude</t>
        </is>
      </c>
      <c r="E1" s="2" t="inlineStr">
        <is>
          <t>longitude</t>
        </is>
      </c>
      <c r="F1" s="2" t="inlineStr">
        <is>
          <t>presence</t>
        </is>
      </c>
      <c r="G1" s="2" t="inlineStr">
        <is>
          <t>espece</t>
        </is>
      </c>
      <c r="H1" s="2" t="inlineStr">
        <is>
          <t>comportement</t>
        </is>
      </c>
      <c r="I1" s="2" t="inlineStr">
        <is>
          <t>signes_occupation</t>
        </is>
      </c>
      <c r="J1" s="2" t="inlineStr">
        <is>
          <t>etat_nichoir</t>
        </is>
      </c>
      <c r="K1" s="2" t="inlineStr">
        <is>
          <t>remarques</t>
        </is>
      </c>
    </row>
    <row r="2" ht="29" customHeight="1">
      <c r="A2" s="3" t="inlineStr">
        <is>
          <t>NIC_01</t>
        </is>
      </c>
      <c r="B2" s="3" t="inlineStr">
        <is>
          <t>nichoir</t>
        </is>
      </c>
      <c r="C2" s="4" t="n">
        <v>1</v>
      </c>
      <c r="D2" s="4" t="inlineStr">
        <is>
          <t>48.52212</t>
        </is>
      </c>
      <c r="E2" s="4" t="inlineStr">
        <is>
          <t>6.46739</t>
        </is>
      </c>
      <c r="F2" s="4" t="inlineStr">
        <is>
          <t>oui</t>
        </is>
      </c>
      <c r="G2" s="3" t="inlineStr">
        <is>
          <t>Mésange charbonnière</t>
        </is>
      </c>
      <c r="H2" s="3" t="inlineStr">
        <is>
          <t>Chant pour délimiter son territoire</t>
        </is>
      </c>
      <c r="I2" s="3" t="inlineStr">
        <is>
          <t>Présence d'un nid</t>
        </is>
      </c>
      <c r="J2" s="3" t="inlineStr">
        <is>
          <t>Très bon</t>
        </is>
      </c>
      <c r="K2" s="3" t="inlineStr">
        <is>
          <t>Fauvette à tête noire et Pouillot véloce aux alentours</t>
        </is>
      </c>
    </row>
    <row r="3" ht="29" customHeight="1">
      <c r="A3" s="3" t="inlineStr">
        <is>
          <t>NIC_03</t>
        </is>
      </c>
      <c r="B3" s="3" t="inlineStr">
        <is>
          <t>nichoir</t>
        </is>
      </c>
      <c r="C3" s="4" t="n">
        <v>3</v>
      </c>
      <c r="D3" s="4" t="inlineStr">
        <is>
          <t>48.52096</t>
        </is>
      </c>
      <c r="E3" s="4" t="inlineStr">
        <is>
          <t>6.46637</t>
        </is>
      </c>
      <c r="F3" s="4" t="inlineStr">
        <is>
          <t>oui</t>
        </is>
      </c>
      <c r="G3" s="3" t="inlineStr">
        <is>
          <t>Fauvette des jardins</t>
        </is>
      </c>
      <c r="H3" s="3" t="inlineStr">
        <is>
          <t>Chant</t>
        </is>
      </c>
      <c r="I3" s="3" t="inlineStr">
        <is>
          <t>Élément (branche) présent dans le nid</t>
        </is>
      </c>
      <c r="J3" s="3" t="inlineStr">
        <is>
          <t>Très bon</t>
        </is>
      </c>
      <c r="K3" s="3" t="inlineStr">
        <is>
          <t>Troglodyte mignon aux environs</t>
        </is>
      </c>
    </row>
    <row r="4">
      <c r="A4" s="3" t="inlineStr">
        <is>
          <t>NIC_04</t>
        </is>
      </c>
      <c r="B4" s="3" t="inlineStr">
        <is>
          <t>nichoir</t>
        </is>
      </c>
      <c r="C4" s="4" t="n">
        <v>4</v>
      </c>
      <c r="D4" s="4" t="inlineStr">
        <is>
          <t>48.52142</t>
        </is>
      </c>
      <c r="E4" s="4" t="inlineStr">
        <is>
          <t>6.46628</t>
        </is>
      </c>
      <c r="F4" s="4" t="inlineStr">
        <is>
          <t>non</t>
        </is>
      </c>
      <c r="G4" s="3" t="n"/>
      <c r="H4" s="3" t="inlineStr">
        <is>
          <t>Aucun</t>
        </is>
      </c>
      <c r="I4" s="3" t="inlineStr">
        <is>
          <t>Aucun</t>
        </is>
      </c>
      <c r="J4" s="3" t="inlineStr">
        <is>
          <t>Bon</t>
        </is>
      </c>
      <c r="K4" s="3" t="n"/>
    </row>
    <row r="5">
      <c r="A5" s="3" t="inlineStr">
        <is>
          <t>NIC_05</t>
        </is>
      </c>
      <c r="B5" s="3" t="inlineStr">
        <is>
          <t>nichoir</t>
        </is>
      </c>
      <c r="C5" s="4" t="n">
        <v>5</v>
      </c>
      <c r="D5" s="4" t="inlineStr">
        <is>
          <t>48.52190</t>
        </is>
      </c>
      <c r="E5" s="4" t="inlineStr">
        <is>
          <t>6.46689</t>
        </is>
      </c>
      <c r="F5" s="4" t="inlineStr">
        <is>
          <t>non</t>
        </is>
      </c>
      <c r="G5" s="3" t="n"/>
      <c r="H5" s="3" t="inlineStr">
        <is>
          <t>Aucun</t>
        </is>
      </c>
      <c r="I5" s="3" t="inlineStr">
        <is>
          <t>Présence de fientes</t>
        </is>
      </c>
      <c r="J5" s="3" t="inlineStr">
        <is>
          <t xml:space="preserve"> BON</t>
        </is>
      </c>
      <c r="K5" s="3" t="inlineStr">
        <is>
          <t>Mésange charbonnière à proximité</t>
        </is>
      </c>
    </row>
    <row r="6" ht="29" customHeight="1">
      <c r="A6" s="3" t="inlineStr">
        <is>
          <t>NIC_06</t>
        </is>
      </c>
      <c r="B6" s="3" t="inlineStr">
        <is>
          <t>nichoir</t>
        </is>
      </c>
      <c r="C6" s="4" t="n">
        <v>6</v>
      </c>
      <c r="D6" s="4" t="inlineStr">
        <is>
          <t>48.52111</t>
        </is>
      </c>
      <c r="E6" s="4" t="inlineStr">
        <is>
          <t>6.46568</t>
        </is>
      </c>
      <c r="F6" s="4" t="inlineStr">
        <is>
          <t>oui</t>
        </is>
      </c>
      <c r="G6" s="3" t="inlineStr">
        <is>
          <t>Mésange charbonnière</t>
        </is>
      </c>
      <c r="H6" s="3" t="inlineStr">
        <is>
          <t>Va-et-vient à l'intérieur du nid (nourrissage probable)</t>
        </is>
      </c>
      <c r="I6" s="3" t="inlineStr">
        <is>
          <t>Activité parentale</t>
        </is>
      </c>
      <c r="J6" s="3" t="inlineStr">
        <is>
          <t>Bon</t>
        </is>
      </c>
      <c r="K6" s="3" t="inlineStr">
        <is>
          <t>Fauvette à tête noire à proximité</t>
        </is>
      </c>
    </row>
    <row r="7" ht="29" customHeight="1">
      <c r="A7" s="3" t="inlineStr">
        <is>
          <t>NIC_07</t>
        </is>
      </c>
      <c r="B7" s="3" t="inlineStr">
        <is>
          <t>nichoir</t>
        </is>
      </c>
      <c r="C7" s="4" t="n">
        <v>7</v>
      </c>
      <c r="D7" s="4" t="inlineStr">
        <is>
          <t>48.52218</t>
        </is>
      </c>
      <c r="E7" s="4" t="inlineStr">
        <is>
          <t>6.46587</t>
        </is>
      </c>
      <c r="F7" s="4" t="inlineStr">
        <is>
          <t>non</t>
        </is>
      </c>
      <c r="G7" s="3" t="n"/>
      <c r="H7" s="3" t="inlineStr">
        <is>
          <t>Aucun</t>
        </is>
      </c>
      <c r="I7" s="3" t="inlineStr">
        <is>
          <t>Aucun</t>
        </is>
      </c>
      <c r="J7" s="3" t="inlineStr">
        <is>
          <t>Très bon</t>
        </is>
      </c>
      <c r="K7" s="3" t="inlineStr">
        <is>
          <t>Pouillot fitis, Rossignol philomèle, Fauvette à tête noire aux alentours</t>
        </is>
      </c>
    </row>
    <row r="8">
      <c r="A8" s="3" t="inlineStr">
        <is>
          <t>NIC_08</t>
        </is>
      </c>
      <c r="B8" s="3" t="inlineStr">
        <is>
          <t>nichoir</t>
        </is>
      </c>
      <c r="C8" s="4" t="n">
        <v>8</v>
      </c>
      <c r="D8" s="4" t="inlineStr">
        <is>
          <t>48.52131</t>
        </is>
      </c>
      <c r="E8" s="4" t="inlineStr">
        <is>
          <t>6.46589</t>
        </is>
      </c>
      <c r="F8" s="4" t="inlineStr">
        <is>
          <t>oui</t>
        </is>
      </c>
      <c r="G8" s="3" t="inlineStr">
        <is>
          <t>Fauvette à tête noire</t>
        </is>
      </c>
      <c r="H8" s="3" t="inlineStr">
        <is>
          <t>Passage silencieux</t>
        </is>
      </c>
      <c r="I8" s="3" t="inlineStr">
        <is>
          <t>Aucun signe particulier</t>
        </is>
      </c>
      <c r="J8" s="3" t="inlineStr">
        <is>
          <t>Bon</t>
        </is>
      </c>
      <c r="K8" s="3" t="inlineStr">
        <is>
          <t>Cigogne blanche observée en vol</t>
        </is>
      </c>
    </row>
    <row r="9">
      <c r="A9" s="3" t="inlineStr">
        <is>
          <t>NIC_09</t>
        </is>
      </c>
      <c r="B9" s="11" t="inlineStr">
        <is>
          <t>nichoir</t>
        </is>
      </c>
      <c r="C9" s="12" t="n">
        <v>9</v>
      </c>
      <c r="D9" s="12" t="inlineStr">
        <is>
          <t>48.52199</t>
        </is>
      </c>
      <c r="E9" s="12" t="inlineStr">
        <is>
          <t>6.46631</t>
        </is>
      </c>
      <c r="F9" s="12" t="inlineStr">
        <is>
          <t>non</t>
        </is>
      </c>
      <c r="G9" s="11" t="n"/>
      <c r="H9" s="3" t="inlineStr">
        <is>
          <t>Aucun</t>
        </is>
      </c>
      <c r="I9" s="3" t="inlineStr">
        <is>
          <t>Aucun</t>
        </is>
      </c>
      <c r="J9" s="3" t="inlineStr">
        <is>
          <t>Très bon</t>
        </is>
      </c>
      <c r="K9" s="3" t="inlineStr">
        <is>
          <t>Pipit des arbres à proximité</t>
        </is>
      </c>
    </row>
    <row r="10">
      <c r="A10" s="16" t="n"/>
      <c r="B10" s="13" t="n"/>
      <c r="C10" s="13" t="n"/>
      <c r="D10" s="13" t="n"/>
      <c r="E10" s="13" t="n"/>
      <c r="F10" s="13" t="n"/>
      <c r="G10" s="13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Normal="100" workbookViewId="0">
      <selection activeCell="A1" sqref="A1"/>
    </sheetView>
  </sheetViews>
  <sheetFormatPr baseColWidth="10" defaultColWidth="8.7265625" defaultRowHeight="14.5"/>
  <cols>
    <col width="39.90625" customWidth="1" min="1" max="1"/>
    <col width="60" customWidth="1" min="2" max="2"/>
  </cols>
  <sheetData>
    <row r="1" ht="18.5" customHeight="1">
      <c r="A1" s="14" t="inlineStr">
        <is>
          <t>Analyse pédologique — point de prélèvement (PED_01)</t>
        </is>
      </c>
    </row>
    <row r="3">
      <c r="A3" t="inlineStr">
        <is>
          <t>Latitude</t>
        </is>
      </c>
      <c r="B3" t="inlineStr">
        <is>
          <t>48.52132</t>
        </is>
      </c>
    </row>
    <row r="4">
      <c r="A4" t="inlineStr">
        <is>
          <t>Longitude</t>
        </is>
      </c>
      <c r="B4" t="inlineStr">
        <is>
          <t>6.46585</t>
        </is>
      </c>
    </row>
    <row r="5" ht="29" customHeight="1">
      <c r="A5" s="2" t="inlineStr">
        <is>
          <t>Critère</t>
        </is>
      </c>
      <c r="B5" s="2" t="inlineStr">
        <is>
          <t>Observation / Valeur</t>
        </is>
      </c>
    </row>
    <row r="6">
      <c r="A6" s="5" t="inlineStr">
        <is>
          <t>Texture</t>
        </is>
      </c>
      <c r="B6" s="3" t="inlineStr">
        <is>
          <t>Sable grossier (sol rugueux)</t>
        </is>
      </c>
    </row>
    <row r="7">
      <c r="A7" s="5" t="inlineStr">
        <is>
          <t>Présence d'éléments grossiers (cailloux, graviers)</t>
        </is>
      </c>
      <c r="B7" s="3" t="inlineStr">
        <is>
          <t>Non</t>
        </is>
      </c>
    </row>
    <row r="8">
      <c r="A8" s="5" t="inlineStr">
        <is>
          <t>Teneur en argile (%)</t>
        </is>
      </c>
      <c r="B8" s="3" t="inlineStr">
        <is>
          <t>&lt; 10 % (impossible de réaliser un boudin)</t>
        </is>
      </c>
    </row>
    <row r="9">
      <c r="A9" s="5" t="inlineStr">
        <is>
          <t>Teneur en calcaire (%)</t>
        </is>
      </c>
      <c r="B9" s="3" t="inlineStr">
        <is>
          <t>&lt; 5 % (aucune réaction au vinaigre)</t>
        </is>
      </c>
    </row>
    <row r="10">
      <c r="A10" s="5" t="inlineStr">
        <is>
          <t>Teneur en matière organique (%)</t>
        </is>
      </c>
      <c r="B10" s="3" t="inlineStr">
        <is>
          <t>Sol humifère (≈ 9 %)</t>
        </is>
      </c>
    </row>
    <row r="11">
      <c r="A11" s="5" t="inlineStr">
        <is>
          <t>pH</t>
        </is>
      </c>
      <c r="B11" s="3" t="inlineStr">
        <is>
          <t>4,5 - 5 (sol acide)</t>
        </is>
      </c>
    </row>
    <row r="12">
      <c r="A12" s="5" t="inlineStr">
        <is>
          <t>Type de structure</t>
        </is>
      </c>
      <c r="B12" s="3" t="inlineStr">
        <is>
          <t>Particulaire</t>
        </is>
      </c>
    </row>
    <row r="13" ht="29" customHeight="1">
      <c r="A13" s="5" t="inlineStr">
        <is>
          <t>Indice de battance</t>
        </is>
      </c>
      <c r="B13" s="3" t="inlineStr">
        <is>
          <t>1,4 - 1,6 (sol peu battant)</t>
        </is>
      </c>
    </row>
    <row r="14">
      <c r="A14" s="5" t="inlineStr">
        <is>
          <t>Érosion</t>
        </is>
      </c>
      <c r="B14" s="3" t="inlineStr">
        <is>
          <t>Présence de rigoles</t>
        </is>
      </c>
    </row>
    <row r="15">
      <c r="A15" s="5" t="inlineStr">
        <is>
          <t>Hydromorphie</t>
        </is>
      </c>
      <c r="B15" s="3" t="inlineStr">
        <is>
          <t>Sol redoxique : taches rouge orangé, alternance de zones de saturation</t>
        </is>
      </c>
    </row>
    <row r="16">
      <c r="A16" s="5" t="inlineStr">
        <is>
          <t>Activité biologique (%)</t>
        </is>
      </c>
      <c r="B16" s="3" t="inlineStr">
        <is>
          <t>2 - 5 % (bonne activité)</t>
        </is>
      </c>
    </row>
  </sheetData>
  <mergeCells count="1">
    <mergeCell ref="A1:B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Normal="100" workbookViewId="0">
      <selection activeCell="A1" sqref="A1"/>
    </sheetView>
  </sheetViews>
  <sheetFormatPr baseColWidth="10" defaultColWidth="8.7265625" defaultRowHeight="14.5"/>
  <cols>
    <col width="35" customWidth="1" min="1" max="1"/>
    <col width="45.08984375" customWidth="1" min="2" max="2"/>
  </cols>
  <sheetData>
    <row r="1" ht="18.5" customHeight="1">
      <c r="A1" s="14" t="inlineStr">
        <is>
          <t>Conditions climatiques au moment du relevé</t>
        </is>
      </c>
    </row>
    <row r="3">
      <c r="A3" s="2" t="inlineStr">
        <is>
          <t>Paramètre</t>
        </is>
      </c>
      <c r="B3" s="2" t="inlineStr">
        <is>
          <t>Valeur</t>
        </is>
      </c>
    </row>
    <row r="4">
      <c r="A4" s="5" t="inlineStr">
        <is>
          <t>Température de l'air (°C)</t>
        </is>
      </c>
      <c r="B4" s="3" t="inlineStr">
        <is>
          <t>10 - 15</t>
        </is>
      </c>
    </row>
    <row r="5">
      <c r="A5" s="5" t="inlineStr">
        <is>
          <t>Hygrométrie de l'air (%)</t>
        </is>
      </c>
      <c r="B5" s="3" t="inlineStr">
        <is>
          <t>50 - 70</t>
        </is>
      </c>
    </row>
    <row r="6">
      <c r="A6" s="5" t="inlineStr">
        <is>
          <t>Précipitations</t>
        </is>
      </c>
      <c r="B6" s="3" t="inlineStr">
        <is>
          <t>0 (pas de pluie)</t>
        </is>
      </c>
    </row>
    <row r="7">
      <c r="A7" s="5" t="inlineStr">
        <is>
          <t>Vitesse du vent</t>
        </is>
      </c>
      <c r="B7" s="3" t="inlineStr">
        <is>
          <t>Modérée (relevé à 15h30)</t>
        </is>
      </c>
    </row>
    <row r="8">
      <c r="A8" s="5" t="inlineStr">
        <is>
          <t>Direction du vent</t>
        </is>
      </c>
      <c r="B8" s="3" t="inlineStr">
        <is>
          <t>Nord-Est</t>
        </is>
      </c>
    </row>
    <row r="9">
      <c r="A9" s="5" t="inlineStr">
        <is>
          <t>Couverture nuageuse</t>
        </is>
      </c>
      <c r="B9" s="3" t="inlineStr">
        <is>
          <t>0 (ciel dégagé)</t>
        </is>
      </c>
    </row>
    <row r="10">
      <c r="A10" s="5" t="inlineStr">
        <is>
          <t>Autres phénomènes</t>
        </is>
      </c>
      <c r="B10" s="3" t="inlineStr">
        <is>
          <t>Aucun (pas de rosée)</t>
        </is>
      </c>
    </row>
  </sheetData>
  <mergeCells count="1">
    <mergeCell ref="A1:B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1" sqref="A1"/>
    </sheetView>
  </sheetViews>
  <sheetFormatPr baseColWidth="10" defaultColWidth="8.7265625" defaultRowHeight="14.5"/>
  <cols>
    <col width="12" customWidth="1" min="1" max="1"/>
    <col width="45.08984375" customWidth="1" min="2" max="2"/>
    <col width="12" customWidth="1" min="3" max="3"/>
  </cols>
  <sheetData>
    <row r="1" ht="18.5" customHeight="1">
      <c r="A1" s="14" t="inlineStr">
        <is>
          <t>Agroécosystème et infrastructures agroécologiques</t>
        </is>
      </c>
    </row>
    <row r="3">
      <c r="A3" s="2" t="inlineStr">
        <is>
          <t>id</t>
        </is>
      </c>
      <c r="B3" s="2" t="inlineStr">
        <is>
          <t>type_IAE</t>
        </is>
      </c>
      <c r="C3" s="2" t="inlineStr">
        <is>
          <t>presence</t>
        </is>
      </c>
    </row>
    <row r="4">
      <c r="A4" s="4" t="inlineStr">
        <is>
          <t>IAE_01</t>
        </is>
      </c>
      <c r="B4" s="3" t="inlineStr">
        <is>
          <t>Prairie permanente (zone d'étude)</t>
        </is>
      </c>
      <c r="C4" s="4" t="inlineStr">
        <is>
          <t>oui</t>
        </is>
      </c>
    </row>
    <row r="5">
      <c r="A5" s="4" t="inlineStr">
        <is>
          <t>IAE_02</t>
        </is>
      </c>
      <c r="B5" s="3" t="inlineStr">
        <is>
          <t>Arbres isolés</t>
        </is>
      </c>
      <c r="C5" s="4" t="inlineStr">
        <is>
          <t>oui</t>
        </is>
      </c>
    </row>
    <row r="6">
      <c r="A6" s="4" t="inlineStr">
        <is>
          <t>IAE_03</t>
        </is>
      </c>
      <c r="B6" s="3" t="inlineStr">
        <is>
          <t>Haies</t>
        </is>
      </c>
      <c r="C6" s="4" t="inlineStr">
        <is>
          <t>oui</t>
        </is>
      </c>
    </row>
    <row r="7">
      <c r="A7" s="4" t="inlineStr">
        <is>
          <t>IAE_04</t>
        </is>
      </c>
      <c r="B7" s="3" t="inlineStr">
        <is>
          <t>Jachères</t>
        </is>
      </c>
      <c r="C7" s="4" t="inlineStr">
        <is>
          <t>oui</t>
        </is>
      </c>
    </row>
    <row r="8">
      <c r="A8" s="4" t="inlineStr">
        <is>
          <t>IAE_05</t>
        </is>
      </c>
      <c r="B8" s="3" t="inlineStr">
        <is>
          <t>Mares</t>
        </is>
      </c>
      <c r="C8" s="4" t="inlineStr">
        <is>
          <t>oui</t>
        </is>
      </c>
    </row>
    <row r="9">
      <c r="A9" s="4" t="inlineStr">
        <is>
          <t>IAE_06</t>
        </is>
      </c>
      <c r="B9" s="3" t="inlineStr">
        <is>
          <t>Bandes enherbées</t>
        </is>
      </c>
      <c r="C9" s="4" t="inlineStr">
        <is>
          <t>oui</t>
        </is>
      </c>
    </row>
    <row r="10">
      <c r="A10" s="4" t="inlineStr">
        <is>
          <t>IAE_07</t>
        </is>
      </c>
      <c r="B10" s="3" t="inlineStr">
        <is>
          <t>Friche</t>
        </is>
      </c>
      <c r="C10" s="4" t="inlineStr">
        <is>
          <t>oui</t>
        </is>
      </c>
    </row>
    <row r="11">
      <c r="A11" s="4" t="inlineStr">
        <is>
          <t>IAE_08</t>
        </is>
      </c>
      <c r="B11" s="3" t="inlineStr">
        <is>
          <t>Fossé</t>
        </is>
      </c>
      <c r="C11" s="4" t="inlineStr">
        <is>
          <t>oui</t>
        </is>
      </c>
    </row>
    <row r="12">
      <c r="A12" s="4" t="inlineStr">
        <is>
          <t>IAE_09</t>
        </is>
      </c>
      <c r="B12" s="3" t="inlineStr">
        <is>
          <t>Bois (à proximité)</t>
        </is>
      </c>
      <c r="C12" s="4" t="inlineStr">
        <is>
          <t>oui</t>
        </is>
      </c>
    </row>
    <row r="13">
      <c r="A13" s="4" t="inlineStr">
        <is>
          <t>IAE_10</t>
        </is>
      </c>
      <c r="B13" s="3" t="inlineStr">
        <is>
          <t>Bras mort de la Mortagne</t>
        </is>
      </c>
      <c r="C13" s="4" t="inlineStr">
        <is>
          <t>oui</t>
        </is>
      </c>
    </row>
    <row r="14">
      <c r="A14" s="4" t="inlineStr">
        <is>
          <t>IAE_11</t>
        </is>
      </c>
      <c r="B14" s="3" t="inlineStr">
        <is>
          <t>Ripisylve (le long de la Mortagne)</t>
        </is>
      </c>
      <c r="C14" s="4" t="inlineStr">
        <is>
          <t>oui</t>
        </is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zoomScaleNormal="100" workbookViewId="0">
      <selection activeCell="A1" sqref="A1"/>
    </sheetView>
  </sheetViews>
  <sheetFormatPr baseColWidth="10" defaultColWidth="8.7265625" defaultRowHeight="14.5"/>
  <cols>
    <col width="37.90625" customWidth="1" min="1" max="1"/>
    <col width="16" customWidth="1" min="2" max="2"/>
    <col width="14" customWidth="1" min="3" max="3"/>
    <col width="16" customWidth="1" min="4" max="4"/>
    <col width="23.90625" customWidth="1" min="5" max="5"/>
  </cols>
  <sheetData>
    <row r="1" ht="18.5" customHeight="1">
      <c r="A1" s="14" t="inlineStr">
        <is>
          <t>Point d'écoute IPA — Mésange charbonnière</t>
        </is>
      </c>
    </row>
    <row r="3">
      <c r="A3" s="17" t="inlineStr">
        <is>
          <t>Conditions de relevé</t>
        </is>
      </c>
    </row>
    <row r="4" ht="15" customHeight="1">
      <c r="A4" s="5" t="inlineStr">
        <is>
          <t>Espèce ciblée</t>
        </is>
      </c>
      <c r="B4" s="16" t="inlineStr">
        <is>
          <t>Mésange charbonnière (Parus major)</t>
        </is>
      </c>
      <c r="C4" s="18" t="n"/>
      <c r="D4" s="18" t="n"/>
      <c r="E4" s="18" t="n"/>
    </row>
    <row r="5" ht="15" customHeight="1">
      <c r="A5" s="5" t="inlineStr">
        <is>
          <t>Lieu</t>
        </is>
      </c>
      <c r="B5" s="16" t="inlineStr">
        <is>
          <t>Xermaménil (54), prairie en bord de Mortagne</t>
        </is>
      </c>
      <c r="C5" s="18" t="n"/>
      <c r="D5" s="18" t="n"/>
      <c r="E5" s="18" t="n"/>
    </row>
    <row r="6" ht="15" customHeight="1">
      <c r="A6" s="5" t="inlineStr">
        <is>
          <t>Méthode</t>
        </is>
      </c>
      <c r="B6" s="16" t="inlineStr">
        <is>
          <t>Point d'écoute IPA, rayon 25 m, durée 10 min, sans double comptage</t>
        </is>
      </c>
      <c r="C6" s="18" t="n"/>
      <c r="D6" s="18" t="n"/>
      <c r="E6" s="18" t="n"/>
    </row>
    <row r="7" ht="15" customHeight="1">
      <c r="A7" s="5" t="inlineStr">
        <is>
          <t>Stratégie</t>
        </is>
      </c>
      <c r="B7" s="16" t="inlineStr">
        <is>
          <t>22 points d'écoute répartis sur la prairie, espacés d'au moins 50 m</t>
        </is>
      </c>
      <c r="C7" s="18" t="n"/>
      <c r="D7" s="18" t="n"/>
      <c r="E7" s="18" t="n"/>
    </row>
    <row r="8" ht="15" customHeight="1">
      <c r="A8" s="5" t="inlineStr">
        <is>
          <t>Nombre de passages</t>
        </is>
      </c>
      <c r="B8" s="16" t="inlineStr">
        <is>
          <t>2 (début avril et mi-mai)</t>
        </is>
      </c>
      <c r="C8" s="18" t="n"/>
      <c r="D8" s="18" t="n"/>
      <c r="E8" s="18" t="n"/>
    </row>
    <row r="10">
      <c r="A10" s="17" t="inlineStr">
        <is>
          <t>Résultats des comptages</t>
        </is>
      </c>
    </row>
    <row r="12">
      <c r="A12" s="2" t="inlineStr">
        <is>
          <t>Point</t>
        </is>
      </c>
      <c r="B12" s="2" t="inlineStr">
        <is>
          <t>Passage 1 (avril)</t>
        </is>
      </c>
      <c r="C12" s="2" t="inlineStr">
        <is>
          <t>Passage 2 (mai)</t>
        </is>
      </c>
      <c r="D12" s="2" t="inlineStr">
        <is>
          <t>Maximum (IPA)</t>
        </is>
      </c>
      <c r="E12" s="2" t="inlineStr">
        <is>
          <t>Remarques</t>
        </is>
      </c>
    </row>
    <row r="13">
      <c r="A13" s="4" t="inlineStr">
        <is>
          <t>P1</t>
        </is>
      </c>
      <c r="B13" s="4" t="n">
        <v>2</v>
      </c>
      <c r="C13" s="4" t="n">
        <v>3</v>
      </c>
      <c r="D13" s="4">
        <f>MAX(B13:C13)</f>
        <v/>
      </c>
      <c r="E13" s="3" t="n"/>
    </row>
    <row r="14">
      <c r="A14" s="4" t="inlineStr">
        <is>
          <t>P2</t>
        </is>
      </c>
      <c r="B14" s="4" t="n">
        <v>1</v>
      </c>
      <c r="C14" s="4" t="n">
        <v>2</v>
      </c>
      <c r="D14" s="4">
        <f>MAX(B14:C14)</f>
        <v/>
      </c>
      <c r="E14" s="3" t="n"/>
    </row>
    <row r="15">
      <c r="A15" s="4" t="inlineStr">
        <is>
          <t>P3</t>
        </is>
      </c>
      <c r="B15" s="4" t="n">
        <v>0</v>
      </c>
      <c r="C15" s="4" t="n">
        <v>1</v>
      </c>
      <c r="D15" s="4">
        <f>MAX(B15:C15)</f>
        <v/>
      </c>
      <c r="E15" s="3" t="n"/>
    </row>
    <row r="16">
      <c r="A16" s="4" t="inlineStr">
        <is>
          <t>P4</t>
        </is>
      </c>
      <c r="B16" s="4" t="n">
        <v>1</v>
      </c>
      <c r="C16" s="4" t="n">
        <v>1</v>
      </c>
      <c r="D16" s="4">
        <f>MAX(B16:C16)</f>
        <v/>
      </c>
      <c r="E16" s="3" t="n"/>
    </row>
    <row r="17">
      <c r="A17" s="4" t="inlineStr">
        <is>
          <t>P5</t>
        </is>
      </c>
      <c r="B17" s="4" t="n">
        <v>2</v>
      </c>
      <c r="C17" s="4" t="n">
        <v>2</v>
      </c>
      <c r="D17" s="4">
        <f>MAX(B17:C17)</f>
        <v/>
      </c>
      <c r="E17" s="3" t="n"/>
    </row>
    <row r="18">
      <c r="A18" s="4" t="inlineStr">
        <is>
          <t>P6</t>
        </is>
      </c>
      <c r="B18" s="4" t="n">
        <v>0</v>
      </c>
      <c r="C18" s="4" t="n">
        <v>1</v>
      </c>
      <c r="D18" s="4">
        <f>MAX(B18:C18)</f>
        <v/>
      </c>
      <c r="E18" s="3" t="n"/>
    </row>
    <row r="19">
      <c r="A19" s="4" t="inlineStr">
        <is>
          <t>P7</t>
        </is>
      </c>
      <c r="B19" s="4" t="n">
        <v>1</v>
      </c>
      <c r="C19" s="4" t="n">
        <v>0</v>
      </c>
      <c r="D19" s="4">
        <f>MAX(B19:C19)</f>
        <v/>
      </c>
      <c r="E19" s="3" t="n"/>
    </row>
    <row r="20">
      <c r="A20" s="4" t="inlineStr">
        <is>
          <t>P8</t>
        </is>
      </c>
      <c r="B20" s="4" t="n">
        <v>3</v>
      </c>
      <c r="C20" s="4" t="n">
        <v>2</v>
      </c>
      <c r="D20" s="4">
        <f>MAX(B20:C20)</f>
        <v/>
      </c>
      <c r="E20" s="3" t="n"/>
    </row>
    <row r="21">
      <c r="A21" s="4" t="inlineStr">
        <is>
          <t>P9</t>
        </is>
      </c>
      <c r="B21" s="4" t="n">
        <v>1</v>
      </c>
      <c r="C21" s="4" t="n">
        <v>1</v>
      </c>
      <c r="D21" s="4">
        <f>MAX(B21:C21)</f>
        <v/>
      </c>
      <c r="E21" s="3" t="n"/>
    </row>
    <row r="22">
      <c r="A22" s="4" t="inlineStr">
        <is>
          <t>P10</t>
        </is>
      </c>
      <c r="B22" s="4" t="n">
        <v>0</v>
      </c>
      <c r="C22" s="4" t="n">
        <v>1</v>
      </c>
      <c r="D22" s="4">
        <f>MAX(B22:C22)</f>
        <v/>
      </c>
      <c r="E22" s="3" t="n"/>
    </row>
    <row r="23">
      <c r="A23" s="4" t="inlineStr">
        <is>
          <t>P11</t>
        </is>
      </c>
      <c r="B23" s="4" t="n">
        <v>2</v>
      </c>
      <c r="C23" s="4" t="n">
        <v>2</v>
      </c>
      <c r="D23" s="4">
        <f>MAX(B23:C23)</f>
        <v/>
      </c>
      <c r="E23" s="3" t="n"/>
    </row>
    <row r="24">
      <c r="A24" s="4" t="inlineStr">
        <is>
          <t>P12</t>
        </is>
      </c>
      <c r="B24" s="4" t="n">
        <v>1</v>
      </c>
      <c r="C24" s="4" t="n">
        <v>2</v>
      </c>
      <c r="D24" s="4">
        <f>MAX(B24:C24)</f>
        <v/>
      </c>
      <c r="E24" s="3" t="n"/>
    </row>
    <row r="25">
      <c r="A25" s="4" t="inlineStr">
        <is>
          <t>P13</t>
        </is>
      </c>
      <c r="B25" s="4" t="n">
        <v>0</v>
      </c>
      <c r="C25" s="4" t="n">
        <v>1</v>
      </c>
      <c r="D25" s="4">
        <f>MAX(B25:C25)</f>
        <v/>
      </c>
      <c r="E25" s="3" t="n"/>
    </row>
    <row r="26">
      <c r="A26" s="4" t="inlineStr">
        <is>
          <t>P14</t>
        </is>
      </c>
      <c r="B26" s="4" t="n">
        <v>2</v>
      </c>
      <c r="C26" s="4" t="n">
        <v>3</v>
      </c>
      <c r="D26" s="4">
        <f>MAX(B26:C26)</f>
        <v/>
      </c>
      <c r="E26" s="3" t="n"/>
    </row>
    <row r="27">
      <c r="A27" s="4" t="inlineStr">
        <is>
          <t>P15</t>
        </is>
      </c>
      <c r="B27" s="4" t="n">
        <v>1</v>
      </c>
      <c r="C27" s="4" t="n">
        <v>1</v>
      </c>
      <c r="D27" s="4">
        <f>MAX(B27:C27)</f>
        <v/>
      </c>
      <c r="E27" s="3" t="n"/>
    </row>
    <row r="28">
      <c r="A28" s="4" t="inlineStr">
        <is>
          <t>P16</t>
        </is>
      </c>
      <c r="B28" s="4" t="n">
        <v>1</v>
      </c>
      <c r="C28" s="4" t="n">
        <v>0</v>
      </c>
      <c r="D28" s="4">
        <f>MAX(B28:C28)</f>
        <v/>
      </c>
      <c r="E28" s="3" t="n"/>
    </row>
    <row r="29">
      <c r="A29" s="4" t="inlineStr">
        <is>
          <t>P17</t>
        </is>
      </c>
      <c r="B29" s="4" t="n">
        <v>0</v>
      </c>
      <c r="C29" s="4" t="n">
        <v>1</v>
      </c>
      <c r="D29" s="4">
        <f>MAX(B29:C29)</f>
        <v/>
      </c>
      <c r="E29" s="3" t="n"/>
    </row>
    <row r="30">
      <c r="A30" s="4" t="inlineStr">
        <is>
          <t>P18</t>
        </is>
      </c>
      <c r="B30" s="4" t="n">
        <v>1</v>
      </c>
      <c r="C30" s="4" t="n">
        <v>1</v>
      </c>
      <c r="D30" s="4">
        <f>MAX(B30:C30)</f>
        <v/>
      </c>
      <c r="E30" s="3" t="n"/>
    </row>
    <row r="31">
      <c r="A31" s="4" t="inlineStr">
        <is>
          <t>P19</t>
        </is>
      </c>
      <c r="B31" s="4" t="n">
        <v>2</v>
      </c>
      <c r="C31" s="4" t="n">
        <v>2</v>
      </c>
      <c r="D31" s="4">
        <f>MAX(B31:C31)</f>
        <v/>
      </c>
      <c r="E31" s="3" t="n"/>
    </row>
    <row r="32">
      <c r="A32" s="4" t="inlineStr">
        <is>
          <t>P20</t>
        </is>
      </c>
      <c r="B32" s="4" t="n">
        <v>0</v>
      </c>
      <c r="C32" s="4" t="n">
        <v>1</v>
      </c>
      <c r="D32" s="4">
        <f>MAX(B32:C32)</f>
        <v/>
      </c>
      <c r="E32" s="3" t="n"/>
    </row>
    <row r="33">
      <c r="A33" s="4" t="inlineStr">
        <is>
          <t>P21</t>
        </is>
      </c>
      <c r="B33" s="4" t="n">
        <v>1</v>
      </c>
      <c r="C33" s="4" t="n">
        <v>1</v>
      </c>
      <c r="D33" s="4">
        <f>MAX(B33:C33)</f>
        <v/>
      </c>
      <c r="E33" s="3" t="n"/>
    </row>
    <row r="34">
      <c r="A34" s="4" t="inlineStr">
        <is>
          <t>P22</t>
        </is>
      </c>
      <c r="B34" s="4" t="n">
        <v>1</v>
      </c>
      <c r="C34" s="4" t="n">
        <v>2</v>
      </c>
      <c r="D34" s="4">
        <f>MAX(B34:C34)</f>
        <v/>
      </c>
      <c r="E34" s="3" t="n"/>
    </row>
    <row r="35">
      <c r="A35" s="6" t="inlineStr">
        <is>
          <t>TOTAL</t>
        </is>
      </c>
      <c r="B35" s="6">
        <f>SUM(B13:B34)</f>
        <v/>
      </c>
      <c r="C35" s="6">
        <f>SUM(C13:C34)</f>
        <v/>
      </c>
      <c r="D35" s="6">
        <f>SUM(D13:D34)</f>
        <v/>
      </c>
      <c r="E35" s="6" t="n"/>
    </row>
    <row r="37">
      <c r="A37" s="17" t="inlineStr">
        <is>
          <t>Calculs et résultats</t>
        </is>
      </c>
    </row>
    <row r="38" ht="15" customHeight="1">
      <c r="A38" s="5" t="inlineStr">
        <is>
          <t>Nombre de points d'écoute</t>
        </is>
      </c>
      <c r="B38" s="4" t="n">
        <v>22</v>
      </c>
      <c r="C38" s="15" t="inlineStr">
        <is>
          <t>points</t>
        </is>
      </c>
      <c r="D38" s="18" t="n"/>
      <c r="E38" s="19" t="n"/>
    </row>
    <row r="39" ht="15" customHeight="1">
      <c r="A39" s="5" t="inlineStr">
        <is>
          <t>Surface échantillonnée par point (m²)</t>
        </is>
      </c>
      <c r="B39" s="4">
        <f>PI()*25^2</f>
        <v/>
      </c>
      <c r="C39" s="15" t="inlineStr">
        <is>
          <t>π × 25²</t>
        </is>
      </c>
      <c r="D39" s="18" t="n"/>
      <c r="E39" s="19" t="n"/>
    </row>
    <row r="40">
      <c r="A40" s="5" t="inlineStr">
        <is>
          <t>Surface totale échantillonnée (m²)</t>
        </is>
      </c>
      <c r="B40" s="4">
        <f>B38*B39</f>
        <v/>
      </c>
      <c r="C40" s="15" t="n"/>
      <c r="D40" s="18" t="n"/>
      <c r="E40" s="19" t="n"/>
    </row>
    <row r="41">
      <c r="A41" s="5" t="inlineStr">
        <is>
          <t>Surface totale échantillonnée (ha)</t>
        </is>
      </c>
      <c r="B41" s="4">
        <f>B40/10000</f>
        <v/>
      </c>
      <c r="C41" s="15" t="n"/>
      <c r="D41" s="18" t="n"/>
      <c r="E41" s="19" t="n"/>
    </row>
    <row r="42" ht="15" customHeight="1">
      <c r="A42" s="5" t="inlineStr">
        <is>
          <t>Total contacts (passage 1)</t>
        </is>
      </c>
      <c r="B42" s="4">
        <f>B35</f>
        <v/>
      </c>
      <c r="C42" s="15" t="inlineStr">
        <is>
          <t>individus</t>
        </is>
      </c>
      <c r="D42" s="18" t="n"/>
      <c r="E42" s="19" t="n"/>
    </row>
    <row r="43" ht="15" customHeight="1">
      <c r="A43" s="5" t="inlineStr">
        <is>
          <t>Total contacts (passage 2)</t>
        </is>
      </c>
      <c r="B43" s="4">
        <f>C35</f>
        <v/>
      </c>
      <c r="C43" s="15" t="inlineStr">
        <is>
          <t>individus</t>
        </is>
      </c>
      <c r="D43" s="18" t="n"/>
      <c r="E43" s="19" t="n"/>
    </row>
    <row r="44" ht="15" customHeight="1">
      <c r="A44" s="5" t="inlineStr">
        <is>
          <t>IPA total (somme des max)</t>
        </is>
      </c>
      <c r="B44" s="4">
        <f>D35</f>
        <v/>
      </c>
      <c r="C44" s="15" t="inlineStr">
        <is>
          <t>individus</t>
        </is>
      </c>
      <c r="D44" s="18" t="n"/>
      <c r="E44" s="19" t="n"/>
    </row>
    <row r="45" ht="15" customHeight="1">
      <c r="A45" s="5" t="inlineStr">
        <is>
          <t>Densité estimée (couples/ha)</t>
        </is>
      </c>
      <c r="B45" s="4">
        <f>D35/B41</f>
        <v/>
      </c>
      <c r="C45" s="15" t="inlineStr">
        <is>
          <t>couples/ha</t>
        </is>
      </c>
      <c r="D45" s="18" t="n"/>
      <c r="E45" s="19" t="n"/>
    </row>
    <row r="46" ht="15" customHeight="1">
      <c r="A46" s="5" t="inlineStr">
        <is>
          <t>Surface de la prairie (ha)</t>
        </is>
      </c>
      <c r="B46" s="4" t="n">
        <v>5</v>
      </c>
      <c r="C46" s="15" t="inlineStr">
        <is>
          <t>ha — valeur à ajuster</t>
        </is>
      </c>
      <c r="D46" s="18" t="n"/>
      <c r="E46" s="19" t="n"/>
    </row>
    <row r="47" ht="15" customHeight="1">
      <c r="A47" s="7" t="inlineStr">
        <is>
          <t>Estimation totale sur la prairie (couples)</t>
        </is>
      </c>
      <c r="B47" s="8">
        <f>B45*B46</f>
        <v/>
      </c>
      <c r="C47" s="15" t="inlineStr">
        <is>
          <t>couples</t>
        </is>
      </c>
      <c r="D47" s="18" t="n"/>
      <c r="E47" s="19" t="n"/>
    </row>
  </sheetData>
  <mergeCells count="19">
    <mergeCell ref="C44:E44"/>
    <mergeCell ref="C41:E41"/>
    <mergeCell ref="B6:E6"/>
    <mergeCell ref="C40:E40"/>
    <mergeCell ref="A1:E1"/>
    <mergeCell ref="B5:E5"/>
    <mergeCell ref="C43:E43"/>
    <mergeCell ref="C46:E46"/>
    <mergeCell ref="B4:E4"/>
    <mergeCell ref="C39:E39"/>
    <mergeCell ref="B7:E7"/>
    <mergeCell ref="A37:E37"/>
    <mergeCell ref="A3:E3"/>
    <mergeCell ref="C38:E38"/>
    <mergeCell ref="C42:E42"/>
    <mergeCell ref="B8:E8"/>
    <mergeCell ref="A10:E10"/>
    <mergeCell ref="C45:E45"/>
    <mergeCell ref="C47:E47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workbookViewId="0">
      <selection activeCell="A1" sqref="A1"/>
    </sheetView>
  </sheetViews>
  <sheetFormatPr baseColWidth="10" defaultColWidth="8.7265625" defaultRowHeight="14.5"/>
  <cols>
    <col width="25" customWidth="1" min="1" max="1"/>
    <col width="75.08984375" customWidth="1" min="2" max="2"/>
  </cols>
  <sheetData>
    <row r="1" ht="18.5" customHeight="1">
      <c r="A1" s="14" t="inlineStr">
        <is>
          <t>Notes pour l'import dans QGIS</t>
        </is>
      </c>
    </row>
    <row r="2"/>
    <row r="3" ht="39.75" customHeight="1">
      <c r="A3" s="9" t="inlineStr">
        <is>
          <t>Feuille 'Nichoirs'</t>
        </is>
      </c>
      <c r="B3" s="10" t="inlineStr">
        <is>
          <t>Couche de points : importer via 'Couche &gt; Ajouter une couche &gt; Couche de texte délimité' ou directement le .xlsx.</t>
        </is>
      </c>
    </row>
    <row r="4" ht="39.75" customHeight="1">
      <c r="A4" s="9" t="inlineStr">
        <is>
          <t>Champs de coordonnées</t>
        </is>
      </c>
      <c r="B4" s="10" t="inlineStr">
        <is>
          <t>X = longitude, Y = latitude. SCR conseillé : EPSG:4326 (WGS 84).</t>
        </is>
      </c>
    </row>
    <row r="5" ht="39.75" customHeight="1">
      <c r="A5" s="9" t="inlineStr">
        <is>
          <t>Coordonnées</t>
        </is>
      </c>
      <c r="B5" s="10" t="inlineStr">
        <is>
          <t>Coordonnées GPS réelles relevées sur le terrain (Xermaménil, 54), remplacant les coordonnées approximatives initiales. La latitude/longitude du point de prélèvement pédologique (PED_01) est renseignée dans la feuille 'Sol_pedologie'.</t>
        </is>
      </c>
    </row>
    <row r="6" ht="39.75" customHeight="1">
      <c r="A6" s="9" t="inlineStr">
        <is>
          <t>Symbologie suggérée</t>
        </is>
      </c>
      <c r="B6" s="10" t="inlineStr">
        <is>
          <t>Catégoriser sur le champ 'presence' (oui/non) ou sur 'type' (nichoir / prelevement_sol).</t>
        </is>
      </c>
    </row>
    <row r="7" ht="39.75" customHeight="1">
      <c r="A7" s="9" t="inlineStr">
        <is>
          <t>Étiquettes</t>
        </is>
      </c>
      <c r="B7" s="10" t="inlineStr">
        <is>
          <t>Étiqueter avec le champ 'numero' ou 'id'.</t>
        </is>
      </c>
    </row>
    <row r="8" ht="39.75" customHeight="1">
      <c r="A8" s="9" t="inlineStr">
        <is>
          <t>Autres feuilles</t>
        </is>
      </c>
      <c r="B8" s="10" t="inlineStr">
        <is>
          <t>Sol_pedologie, Climat, IAE, IPA_mesange = données associées (non spatialisées). Peuvent être jointes à la couche nichoirs si besoin.</t>
        </is>
      </c>
    </row>
  </sheetData>
  <mergeCells count="1">
    <mergeCell ref="A1:B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2026-05-05T06:27:26Z</dcterms:created>
  <dcterms:modified xsi:type="dcterms:W3CDTF">2026-06-19T10:04:18Z</dcterms:modified>
  <cp:lastModifiedBy>tristangaconnet584@gmail.com</cp:lastModifiedBy>
  <cp:revision>0</cp:revision>
</cp:coreProperties>
</file>